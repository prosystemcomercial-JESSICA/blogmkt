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ha ficha" sheetId="1" state="visible" r:id="rId1"/>
    <sheet xmlns:r="http://schemas.openxmlformats.org/officeDocument/2006/relationships" name="Exemplo - Pão francês" sheetId="2" state="visible" r:id="rId2"/>
  </sheets>
  <definedNames>
    <definedName name="_xlnm.Print_Area" localSheetId="0">'Minha ficha'!$A$1:$H$51</definedName>
    <definedName name="_xlnm.Print_Area" localSheetId="1">'Exemplo - Pão francês'!$A$1:$H$51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#,##0.000;-#,##0.000;&quot;-&quot;"/>
    <numFmt numFmtId="166" formatCode="&quot;R$&quot; #,##0.00;-&quot;R$&quot; #,##0.00;&quot;-&quot;"/>
    <numFmt numFmtId="167" formatCode="#,##0;-#,##0;&quot;-&quot;"/>
    <numFmt numFmtId="168" formatCode="0.0%;-0.0%;&quot;-&quot;"/>
  </numFmts>
  <fonts count="17">
    <font>
      <name val="Calibri"/>
      <family val="2"/>
      <color theme="1"/>
      <sz val="11"/>
      <scheme val="minor"/>
    </font>
    <font>
      <name val="Arial"/>
      <b val="1"/>
      <color rgb="00081330"/>
      <sz val="16"/>
    </font>
    <font>
      <name val="Arial"/>
      <color rgb="00667085"/>
      <sz val="10"/>
    </font>
    <font>
      <name val="Arial"/>
      <i val="1"/>
      <color rgb="000A2E87"/>
      <sz val="9"/>
    </font>
    <font>
      <name val="Arial"/>
      <color rgb="00101828"/>
      <sz val="10"/>
    </font>
    <font>
      <name val="Arial"/>
      <color rgb="00667085"/>
      <sz val="9"/>
    </font>
    <font>
      <name val="Arial"/>
      <b val="1"/>
      <color rgb="00081330"/>
      <sz val="10"/>
    </font>
    <font>
      <name val="Arial"/>
      <b val="1"/>
      <color rgb="000A2E87"/>
      <sz val="12"/>
    </font>
    <font>
      <name val="Arial"/>
      <b val="1"/>
      <color rgb="00FFFFFF"/>
      <sz val="10"/>
    </font>
    <font>
      <name val="Arial"/>
      <b val="1"/>
      <color rgb="00101828"/>
      <sz val="10"/>
    </font>
    <font>
      <name val="Arial"/>
      <color rgb="00081330"/>
      <sz val="10"/>
    </font>
    <font>
      <name val="Arial"/>
      <b val="1"/>
      <color rgb="00081330"/>
      <sz val="11"/>
    </font>
    <font>
      <name val="Arial"/>
      <color rgb="00344054"/>
      <sz val="10"/>
    </font>
    <font>
      <name val="Arial"/>
      <b val="1"/>
      <color rgb="000A2E87"/>
      <sz val="11"/>
    </font>
    <font>
      <name val="Arial"/>
      <b val="1"/>
      <color rgb="004379BC"/>
      <sz val="10"/>
    </font>
    <font>
      <name val="Arial"/>
      <color rgb="004379BC"/>
      <sz val="10"/>
    </font>
    <font>
      <name val="Arial"/>
      <i val="1"/>
      <color rgb="00667085"/>
      <sz val="9"/>
    </font>
  </fonts>
  <fills count="5">
    <fill>
      <patternFill/>
    </fill>
    <fill>
      <patternFill patternType="gray125"/>
    </fill>
    <fill>
      <patternFill patternType="solid">
        <fgColor rgb="00EAF2FB"/>
      </patternFill>
    </fill>
    <fill>
      <patternFill patternType="solid">
        <fgColor rgb="000A2E8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164" fontId="4" fillId="2" borderId="1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165" fontId="4" fillId="2" borderId="1" pivotButton="0" quotePrefix="0" xfId="0"/>
    <xf numFmtId="0" fontId="4" fillId="2" borderId="1" applyAlignment="1" pivotButton="0" quotePrefix="0" xfId="0">
      <alignment horizontal="center"/>
    </xf>
    <xf numFmtId="166" fontId="4" fillId="2" borderId="1" pivotButton="0" quotePrefix="0" xfId="0"/>
    <xf numFmtId="166" fontId="4" fillId="4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6" fillId="0" borderId="1" pivotButton="0" quotePrefix="0" xfId="0"/>
    <xf numFmtId="165" fontId="9" fillId="4" borderId="1" pivotButton="0" quotePrefix="0" xfId="0"/>
    <xf numFmtId="0" fontId="5" fillId="0" borderId="1" pivotButton="0" quotePrefix="0" xfId="0"/>
    <xf numFmtId="0" fontId="4" fillId="0" borderId="1" pivotButton="0" quotePrefix="0" xfId="0"/>
    <xf numFmtId="166" fontId="9" fillId="4" borderId="1" pivotButton="0" quotePrefix="0" xfId="0"/>
    <xf numFmtId="0" fontId="10" fillId="0" borderId="1" pivotButton="0" quotePrefix="0" xfId="0"/>
    <xf numFmtId="167" fontId="4" fillId="2" borderId="1" pivotButton="0" quotePrefix="0" xfId="0"/>
    <xf numFmtId="167" fontId="9" fillId="4" borderId="1" pivotButton="0" quotePrefix="0" xfId="0"/>
    <xf numFmtId="168" fontId="9" fillId="4" borderId="1" pivotButton="0" quotePrefix="0" xfId="0"/>
    <xf numFmtId="168" fontId="4" fillId="2" borderId="1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ProSystem</author>
  </authors>
  <commentList>
    <comment ref="E14" authorId="0" shapeId="0">
      <text>
        <t>Preço pago por kg, litro ou unidade, conforme a coluna Unidade. Use o valor da última nota fiscal de compra.</t>
      </text>
    </comment>
    <comment ref="C29" authorId="0" shapeId="0">
      <text>
        <t>Soma dos ingredientes em kg e em litros (considera 1 L de água ≈ 1 kg). Itens em 'un' não entram na massa.</t>
      </text>
    </comment>
    <comment ref="C33" authorId="0" shapeId="0">
      <text>
        <t>Massa total dividida pelo peso da peça crua.</t>
      </text>
    </comment>
    <comment ref="C34" authorId="0" shapeId="0">
      <text>
        <t>Conte quantas unidades realmente saíram. Diferenças frequentes indicam problema de pesagem, divisora ou forno.</t>
      </text>
    </comment>
    <comment ref="C35" authorId="0" shapeId="0">
      <text>
        <t>Negativo = rendeu menos do que a receita prevê.</t>
      </text>
    </comment>
    <comment ref="C38" authorId="0" shapeId="0">
      <text>
        <t>Custo dos ingredientes dividido pelas unidades (usa o rendimento real; se vazio, o previsto).</t>
      </text>
    </comment>
    <comment ref="C39" authorId="0" shapeId="0">
      <text>
        <t>Saquinho, etiqueta, bandeja. Deixe 0 se não houver.</t>
      </text>
    </comment>
    <comment ref="C40" authorId="0" shapeId="0">
      <text>
        <t>Estimativa do peso de energia, gás e itens indiretos. Ajuste com os seus números.</t>
      </text>
    </comment>
    <comment ref="C41" authorId="0" shapeId="0">
      <text>
        <t>Custo das horas da equipe dedicadas a esta fornada.</t>
      </text>
    </comment>
    <comment ref="C45" authorId="0" shapeId="0">
      <text>
        <t>Alíquota efetiva dos impostos sobre a venda. Confirme com o seu contador.</t>
      </text>
    </comment>
    <comment ref="C46" authorId="0" shapeId="0">
      <text>
        <t>Quanto do preço de venda deve sobrar depois de custos e impostos.</t>
      </text>
    </comment>
    <comment ref="C47" authorId="0" shapeId="0">
      <text>
        <t>Custo total dividido por (1 - impostos - margem).</t>
      </text>
    </comment>
    <comment ref="C49" authorId="0" shapeId="0">
      <text>
        <t>O que sobra do preço atual depois de custos e impostos.</t>
      </text>
    </comment>
  </commentList>
</comments>
</file>

<file path=xl/comments/comment2.xml><?xml version="1.0" encoding="utf-8"?>
<comments xmlns="http://schemas.openxmlformats.org/spreadsheetml/2006/main">
  <authors>
    <author>ProSystem</author>
  </authors>
  <commentList>
    <comment ref="E14" authorId="0" shapeId="0">
      <text>
        <t>Preço pago por kg, litro ou unidade, conforme a coluna Unidade. Use o valor da última nota fiscal de compra.</t>
      </text>
    </comment>
    <comment ref="C29" authorId="0" shapeId="0">
      <text>
        <t>Soma dos ingredientes em kg e em litros (considera 1 L de água ≈ 1 kg). Itens em 'un' não entram na massa.</t>
      </text>
    </comment>
    <comment ref="C33" authorId="0" shapeId="0">
      <text>
        <t>Massa total dividida pelo peso da peça crua.</t>
      </text>
    </comment>
    <comment ref="C34" authorId="0" shapeId="0">
      <text>
        <t>Conte quantas unidades realmente saíram. Diferenças frequentes indicam problema de pesagem, divisora ou forno.</t>
      </text>
    </comment>
    <comment ref="C35" authorId="0" shapeId="0">
      <text>
        <t>Negativo = rendeu menos do que a receita prevê.</t>
      </text>
    </comment>
    <comment ref="C38" authorId="0" shapeId="0">
      <text>
        <t>Custo dos ingredientes dividido pelas unidades (usa o rendimento real; se vazio, o previsto).</t>
      </text>
    </comment>
    <comment ref="C39" authorId="0" shapeId="0">
      <text>
        <t>Saquinho, etiqueta, bandeja. Deixe 0 se não houver.</t>
      </text>
    </comment>
    <comment ref="C40" authorId="0" shapeId="0">
      <text>
        <t>Estimativa do peso de energia, gás e itens indiretos. Ajuste com os seus números.</t>
      </text>
    </comment>
    <comment ref="C41" authorId="0" shapeId="0">
      <text>
        <t>Custo das horas da equipe dedicadas a esta fornada.</t>
      </text>
    </comment>
    <comment ref="C45" authorId="0" shapeId="0">
      <text>
        <t>Alíquota efetiva dos impostos sobre a venda. Confirme com o seu contador.</t>
      </text>
    </comment>
    <comment ref="C46" authorId="0" shapeId="0">
      <text>
        <t>Quanto do preço de venda deve sobrar depois de custos e impostos.</t>
      </text>
    </comment>
    <comment ref="C47" authorId="0" shapeId="0">
      <text>
        <t>Custo total dividido por (1 - impostos - margem).</t>
      </text>
    </comment>
    <comment ref="C49" authorId="0" shapeId="0">
      <text>
        <t>O que sobra do preço atual depois de custos e impostos.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0002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0002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27997521370?text=Ol%C3%A1!%20Baixei%20a%20ficha%20t%C3%A9cnica%20do%20blog%20e%20quero%20conhecer%20o%20sistema%20para%20padaria." TargetMode="External" Id="rId1"/><Relationship Type="http://schemas.openxmlformats.org/officeDocument/2006/relationships/hyperlink" Target="https://prosystemnet.com/blog/ficha-tecnica-padaria-padronizar-receitas-rendimento/" TargetMode="External" Id="rId2"/><Relationship Type="http://schemas.openxmlformats.org/officeDocument/2006/relationships/drawing" Target="/xl/drawings/drawing1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a.me/5527997521370?text=Ol%C3%A1!%20Baixei%20a%20ficha%20t%C3%A9cnica%20do%20blog%20e%20quero%20conhecer%20o%20sistema%20para%20padaria." TargetMode="External" Id="rId1"/><Relationship Type="http://schemas.openxmlformats.org/officeDocument/2006/relationships/hyperlink" Target="https://prosystemnet.com/blog/ficha-tecnica-padaria-padronizar-receitas-rendimento/" TargetMode="External" Id="rId2"/><Relationship Type="http://schemas.openxmlformats.org/officeDocument/2006/relationships/drawing" Target="/xl/drawings/drawing2.xml" Id="rId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4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2" customWidth="1" min="4" max="4"/>
    <col width="18" customWidth="1" min="5" max="5"/>
    <col width="18" customWidth="1" min="6" max="6"/>
    <col width="2" customWidth="1" min="7" max="7"/>
    <col width="30" customWidth="1" min="8" max="8"/>
  </cols>
  <sheetData>
    <row r="2" ht="26" customHeight="1"/>
    <row r="4">
      <c r="B4" s="1" t="inlineStr">
        <is>
          <t>Ficha técnica de produção</t>
        </is>
      </c>
    </row>
    <row r="5">
      <c r="B5" s="2" t="inlineStr">
        <is>
          <t>Padronize a receita, confira o rendimento de cada fornada e descubra o custo e o preço de cada unidade.</t>
        </is>
      </c>
    </row>
    <row r="6">
      <c r="B6" s="3" t="inlineStr">
        <is>
          <t>Preencha apenas as células em azul-claro. As demais são calculadas automaticamente.</t>
        </is>
      </c>
      <c r="E6" s="4" t="inlineStr"/>
      <c r="F6" s="5" t="inlineStr">
        <is>
          <t>célula para preencher</t>
        </is>
      </c>
    </row>
    <row r="8">
      <c r="B8" s="6" t="inlineStr">
        <is>
          <t>Produto</t>
        </is>
      </c>
      <c r="C8" s="4" t="n"/>
      <c r="D8" s="7" t="n"/>
      <c r="E8" s="7" t="n"/>
      <c r="F8" s="7" t="n"/>
      <c r="H8" s="8" t="inlineStr">
        <is>
          <t>Como usar</t>
        </is>
      </c>
    </row>
    <row r="9">
      <c r="B9" s="6" t="inlineStr">
        <is>
          <t>Categoria</t>
        </is>
      </c>
      <c r="C9" s="4" t="n"/>
      <c r="D9" s="7" t="n"/>
      <c r="E9" s="7" t="n"/>
      <c r="F9" s="7" t="n"/>
      <c r="H9" s="9" t="inlineStr">
        <is>
          <t>1. Pese tudo numa produção real e anote em kg ou L.</t>
        </is>
      </c>
    </row>
    <row r="10">
      <c r="B10" s="6" t="inlineStr">
        <is>
          <t>Responsável pela receita</t>
        </is>
      </c>
      <c r="C10" s="4" t="n"/>
      <c r="D10" s="7" t="n"/>
      <c r="E10" s="7" t="n"/>
      <c r="F10" s="7" t="n"/>
      <c r="H10" s="9" t="inlineStr">
        <is>
          <t>2. Use o preço da última nota fiscal de compra.</t>
        </is>
      </c>
    </row>
    <row r="11">
      <c r="B11" s="6" t="inlineStr">
        <is>
          <t>Data da última revisão</t>
        </is>
      </c>
      <c r="C11" s="10" t="n"/>
      <c r="H11" s="9" t="inlineStr">
        <is>
          <t>3. Conte as unidades que realmente saíram da fornada.</t>
        </is>
      </c>
    </row>
    <row r="12">
      <c r="H12" s="9" t="inlineStr">
        <is>
          <t>4. Compare o rendimento real com o previsto.</t>
        </is>
      </c>
    </row>
    <row r="13">
      <c r="B13" s="11" t="inlineStr">
        <is>
          <t>1. Ingredientes da receita</t>
        </is>
      </c>
      <c r="H13" s="9" t="inlineStr">
        <is>
          <t>5. Revise a ficha sempre que um insumo mudar de preço.</t>
        </is>
      </c>
    </row>
    <row r="14" ht="30" customHeight="1">
      <c r="B14" s="12" t="inlineStr">
        <is>
          <t>Ingrediente</t>
        </is>
      </c>
      <c r="C14" s="12" t="inlineStr">
        <is>
          <t>Quantidade</t>
        </is>
      </c>
      <c r="D14" s="12" t="inlineStr">
        <is>
          <t>Unidade</t>
        </is>
      </c>
      <c r="E14" s="12" t="inlineStr">
        <is>
          <t>Preço por unidade</t>
        </is>
      </c>
      <c r="F14" s="12" t="inlineStr">
        <is>
          <t>Custo na receita</t>
        </is>
      </c>
    </row>
    <row r="15">
      <c r="B15" s="4" t="n"/>
      <c r="C15" s="13" t="n"/>
      <c r="D15" s="14" t="n"/>
      <c r="E15" s="15" t="n"/>
      <c r="F15" s="16">
        <f>IF(OR(C15="",E15=""),0,C15*E15)</f>
        <v/>
      </c>
    </row>
    <row r="16">
      <c r="B16" s="4" t="n"/>
      <c r="C16" s="13" t="n"/>
      <c r="D16" s="14" t="n"/>
      <c r="E16" s="15" t="n"/>
      <c r="F16" s="16">
        <f>IF(OR(C16="",E16=""),0,C16*E16)</f>
        <v/>
      </c>
      <c r="H16" s="17" t="inlineStr">
        <is>
          <t>Cansou de atualizar preço à mão?</t>
        </is>
      </c>
    </row>
    <row r="17" ht="54" customHeight="1">
      <c r="B17" s="4" t="n"/>
      <c r="C17" s="13" t="n"/>
      <c r="D17" s="14" t="n"/>
      <c r="E17" s="15" t="n"/>
      <c r="F17" s="16">
        <f>IF(OR(C17="",E17=""),0,C17*E17)</f>
        <v/>
      </c>
      <c r="H17" s="9" t="inlineStr">
        <is>
          <t>No sistema ProSystem, a entrada da nota fiscal pelo XML atualiza o custo dos insumos e a formação de preço acompanha.</t>
        </is>
      </c>
    </row>
    <row r="18">
      <c r="B18" s="4" t="n"/>
      <c r="C18" s="13" t="n"/>
      <c r="D18" s="14" t="n"/>
      <c r="E18" s="15" t="n"/>
      <c r="F18" s="16">
        <f>IF(OR(C18="",E18=""),0,C18*E18)</f>
        <v/>
      </c>
    </row>
    <row r="19">
      <c r="B19" s="4" t="n"/>
      <c r="C19" s="13" t="n"/>
      <c r="D19" s="14" t="n"/>
      <c r="E19" s="15" t="n"/>
      <c r="F19" s="16">
        <f>IF(OR(C19="",E19=""),0,C19*E19)</f>
        <v/>
      </c>
      <c r="H19" s="18" t="inlineStr">
        <is>
          <t>Fale com um especialista: (27) 99752-1370</t>
        </is>
      </c>
    </row>
    <row r="20">
      <c r="B20" s="4" t="n"/>
      <c r="C20" s="13" t="n"/>
      <c r="D20" s="14" t="n"/>
      <c r="E20" s="15" t="n"/>
      <c r="F20" s="16">
        <f>IF(OR(C20="",E20=""),0,C20*E20)</f>
        <v/>
      </c>
      <c r="H20" s="19" t="inlineStr">
        <is>
          <t>prosystemnet.com/blog</t>
        </is>
      </c>
    </row>
    <row r="21">
      <c r="B21" s="4" t="n"/>
      <c r="C21" s="13" t="n"/>
      <c r="D21" s="14" t="n"/>
      <c r="E21" s="15" t="n"/>
      <c r="F21" s="16">
        <f>IF(OR(C21="",E21=""),0,C21*E21)</f>
        <v/>
      </c>
    </row>
    <row r="22">
      <c r="B22" s="4" t="n"/>
      <c r="C22" s="13" t="n"/>
      <c r="D22" s="14" t="n"/>
      <c r="E22" s="15" t="n"/>
      <c r="F22" s="16">
        <f>IF(OR(C22="",E22=""),0,C22*E22)</f>
        <v/>
      </c>
    </row>
    <row r="23">
      <c r="B23" s="4" t="n"/>
      <c r="C23" s="13" t="n"/>
      <c r="D23" s="14" t="n"/>
      <c r="E23" s="15" t="n"/>
      <c r="F23" s="16">
        <f>IF(OR(C23="",E23=""),0,C23*E23)</f>
        <v/>
      </c>
    </row>
    <row r="24">
      <c r="B24" s="4" t="n"/>
      <c r="C24" s="13" t="n"/>
      <c r="D24" s="14" t="n"/>
      <c r="E24" s="15" t="n"/>
      <c r="F24" s="16">
        <f>IF(OR(C24="",E24=""),0,C24*E24)</f>
        <v/>
      </c>
    </row>
    <row r="25">
      <c r="B25" s="4" t="n"/>
      <c r="C25" s="13" t="n"/>
      <c r="D25" s="14" t="n"/>
      <c r="E25" s="15" t="n"/>
      <c r="F25" s="16">
        <f>IF(OR(C25="",E25=""),0,C25*E25)</f>
        <v/>
      </c>
    </row>
    <row r="26">
      <c r="B26" s="4" t="n"/>
      <c r="C26" s="13" t="n"/>
      <c r="D26" s="14" t="n"/>
      <c r="E26" s="15" t="n"/>
      <c r="F26" s="16">
        <f>IF(OR(C26="",E26=""),0,C26*E26)</f>
        <v/>
      </c>
    </row>
    <row r="27">
      <c r="B27" s="4" t="n"/>
      <c r="C27" s="13" t="n"/>
      <c r="D27" s="14" t="n"/>
      <c r="E27" s="15" t="n"/>
      <c r="F27" s="16">
        <f>IF(OR(C27="",E27=""),0,C27*E27)</f>
        <v/>
      </c>
    </row>
    <row r="28">
      <c r="B28" s="4" t="n"/>
      <c r="C28" s="13" t="n"/>
      <c r="D28" s="14" t="n"/>
      <c r="E28" s="15" t="n"/>
      <c r="F28" s="16">
        <f>IF(OR(C28="",E28=""),0,C28*E28)</f>
        <v/>
      </c>
    </row>
    <row r="29">
      <c r="B29" s="20" t="inlineStr">
        <is>
          <t>Custo total dos ingredientes</t>
        </is>
      </c>
      <c r="C29" s="21">
        <f>SUMIF(D15:D28,"kg",C15:C28)+SUMIF(D15:D28,"L",C15:C28)</f>
        <v/>
      </c>
      <c r="D29" s="22" t="inlineStr">
        <is>
          <t>kg de massa</t>
        </is>
      </c>
      <c r="E29" s="23" t="inlineStr"/>
      <c r="F29" s="24">
        <f>SUM(F15:F28)</f>
        <v/>
      </c>
    </row>
    <row r="31">
      <c r="B31" s="11" t="inlineStr">
        <is>
          <t>2. Rendimento da fornada</t>
        </is>
      </c>
    </row>
    <row r="32">
      <c r="B32" s="25" t="inlineStr">
        <is>
          <t>Peso da peça crua (g)</t>
        </is>
      </c>
      <c r="C32" s="26" t="n"/>
    </row>
    <row r="33">
      <c r="B33" s="25" t="inlineStr">
        <is>
          <t>Rendimento previsto (unidades)</t>
        </is>
      </c>
      <c r="C33" s="27">
        <f>IF(C32&gt;0,INT(C29*1000/C32),0)</f>
        <v/>
      </c>
    </row>
    <row r="34">
      <c r="B34" s="25" t="inlineStr">
        <is>
          <t>Rendimento real da última fornada (unidades)</t>
        </is>
      </c>
      <c r="C34" s="26" t="n"/>
    </row>
    <row r="35">
      <c r="B35" s="25" t="inlineStr">
        <is>
          <t>Diferença entre real e previsto</t>
        </is>
      </c>
      <c r="C35" s="28">
        <f>IF(AND(C33&gt;0,C34&gt;0),(C34-C33)/C33,0)</f>
        <v/>
      </c>
    </row>
    <row r="37">
      <c r="B37" s="11" t="inlineStr">
        <is>
          <t>3. Custo por unidade</t>
        </is>
      </c>
    </row>
    <row r="38">
      <c r="B38" s="25" t="inlineStr">
        <is>
          <t>Ingredientes por unidade</t>
        </is>
      </c>
      <c r="C38" s="24">
        <f>IF(IF(C34&gt;0,C34,C33)&gt;0,F29/IF(C34&gt;0,C34,C33),0)</f>
        <v/>
      </c>
    </row>
    <row r="39">
      <c r="B39" s="25" t="inlineStr">
        <is>
          <t>Embalagem por unidade (R$)</t>
        </is>
      </c>
      <c r="C39" s="15" t="n"/>
    </row>
    <row r="40">
      <c r="B40" s="25" t="inlineStr">
        <is>
          <t>Energia, gás e outros custos (% sobre ingredientes)</t>
        </is>
      </c>
      <c r="C40" s="29" t="n"/>
    </row>
    <row r="41">
      <c r="B41" s="25" t="inlineStr">
        <is>
          <t>Mão de obra da fornada (R$)</t>
        </is>
      </c>
      <c r="C41" s="15" t="n"/>
    </row>
    <row r="42">
      <c r="B42" s="20" t="inlineStr">
        <is>
          <t>Custo total por unidade</t>
        </is>
      </c>
      <c r="C42" s="24">
        <f>C38+C39+C38*C40+IF(IF(C34&gt;0,C34,C33)&gt;0,C41/IF(C34&gt;0,C34,C33),0)</f>
        <v/>
      </c>
    </row>
    <row r="44">
      <c r="B44" s="11" t="inlineStr">
        <is>
          <t>4. Preço de venda</t>
        </is>
      </c>
    </row>
    <row r="45">
      <c r="B45" s="25" t="inlineStr">
        <is>
          <t>Impostos sobre a venda (% do preço)</t>
        </is>
      </c>
      <c r="C45" s="29" t="n"/>
    </row>
    <row r="46">
      <c r="B46" s="25" t="inlineStr">
        <is>
          <t>Margem desejada (% do preço)</t>
        </is>
      </c>
      <c r="C46" s="29" t="n"/>
    </row>
    <row r="47">
      <c r="B47" s="20" t="inlineStr">
        <is>
          <t>Preço sugerido por unidade</t>
        </is>
      </c>
      <c r="C47" s="24">
        <f>IF((1-C45-C46)&gt;0,C42/(1-C45-C46),0)</f>
        <v/>
      </c>
    </row>
    <row r="48">
      <c r="B48" s="25" t="inlineStr">
        <is>
          <t>Preço que você pratica hoje (opcional)</t>
        </is>
      </c>
      <c r="C48" s="15" t="n"/>
    </row>
    <row r="49">
      <c r="B49" s="20" t="inlineStr">
        <is>
          <t>Margem real com o preço de hoje</t>
        </is>
      </c>
      <c r="C49" s="28">
        <f>IF(C48&gt;0,(C48*(1-C45)-C42)/C48,0)</f>
        <v/>
      </c>
    </row>
  </sheetData>
  <mergeCells count="3">
    <mergeCell ref="C8:F8"/>
    <mergeCell ref="C9:F9"/>
    <mergeCell ref="C10:F10"/>
  </mergeCells>
  <dataValidations count="1">
    <dataValidation sqref="D15 D16 D17 D18 D19 D20 D21 D22 D23 D24 D25 D26 D27 D28" showDropDown="0" showInputMessage="0" showErrorMessage="0" allowBlank="1" type="list">
      <formula1>"kg,L,un"</formula1>
    </dataValidation>
  </dataValidations>
  <hyperlinks>
    <hyperlink xmlns:r="http://schemas.openxmlformats.org/officeDocument/2006/relationships" ref="H19" r:id="rId1"/>
    <hyperlink xmlns:r="http://schemas.openxmlformats.org/officeDocument/2006/relationships" ref="H20" r:id="rId2"/>
  </hyperlinks>
  <pageMargins left="0.75" right="0.75" top="1" bottom="1" header="0.5" footer="0.5"/>
  <pageSetup orientation="portrait" fitToWidth="1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4:H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2" customWidth="1" min="4" max="4"/>
    <col width="18" customWidth="1" min="5" max="5"/>
    <col width="18" customWidth="1" min="6" max="6"/>
    <col width="2" customWidth="1" min="7" max="7"/>
    <col width="30" customWidth="1" min="8" max="8"/>
  </cols>
  <sheetData>
    <row r="2" ht="26" customHeight="1"/>
    <row r="4">
      <c r="B4" s="1" t="inlineStr">
        <is>
          <t>Ficha técnica de produção</t>
        </is>
      </c>
    </row>
    <row r="5">
      <c r="B5" s="2" t="inlineStr">
        <is>
          <t>Padronize a receita, confira o rendimento de cada fornada e descubra o custo e o preço de cada unidade.</t>
        </is>
      </c>
    </row>
    <row r="6">
      <c r="B6" s="3" t="inlineStr">
        <is>
          <t>Preencha apenas as células em azul-claro. As demais são calculadas automaticamente.</t>
        </is>
      </c>
      <c r="E6" s="4" t="inlineStr"/>
      <c r="F6" s="5" t="inlineStr">
        <is>
          <t>célula para preencher</t>
        </is>
      </c>
    </row>
    <row r="8">
      <c r="B8" s="6" t="inlineStr">
        <is>
          <t>Produto</t>
        </is>
      </c>
      <c r="C8" s="4" t="inlineStr">
        <is>
          <t>Pão francês</t>
        </is>
      </c>
      <c r="D8" s="7" t="n"/>
      <c r="E8" s="7" t="n"/>
      <c r="F8" s="7" t="n"/>
      <c r="H8" s="8" t="inlineStr">
        <is>
          <t>Como usar</t>
        </is>
      </c>
    </row>
    <row r="9">
      <c r="B9" s="6" t="inlineStr">
        <is>
          <t>Categoria</t>
        </is>
      </c>
      <c r="C9" s="4" t="inlineStr">
        <is>
          <t>Pães</t>
        </is>
      </c>
      <c r="D9" s="7" t="n"/>
      <c r="E9" s="7" t="n"/>
      <c r="F9" s="7" t="n"/>
      <c r="H9" s="9" t="inlineStr">
        <is>
          <t>1. Pese tudo numa produção real e anote em kg ou L.</t>
        </is>
      </c>
    </row>
    <row r="10">
      <c r="B10" s="6" t="inlineStr">
        <is>
          <t>Responsável pela receita</t>
        </is>
      </c>
      <c r="C10" s="4" t="inlineStr">
        <is>
          <t>Padeiro do turno da manhã</t>
        </is>
      </c>
      <c r="D10" s="7" t="n"/>
      <c r="E10" s="7" t="n"/>
      <c r="F10" s="7" t="n"/>
      <c r="H10" s="9" t="inlineStr">
        <is>
          <t>2. Use o preço da última nota fiscal de compra.</t>
        </is>
      </c>
    </row>
    <row r="11">
      <c r="B11" s="6" t="inlineStr">
        <is>
          <t>Data da última revisão</t>
        </is>
      </c>
      <c r="C11" s="10">
        <f>TODAY()</f>
        <v/>
      </c>
      <c r="H11" s="9" t="inlineStr">
        <is>
          <t>3. Conte as unidades que realmente saíram da fornada.</t>
        </is>
      </c>
    </row>
    <row r="12">
      <c r="H12" s="9" t="inlineStr">
        <is>
          <t>4. Compare o rendimento real com o previsto.</t>
        </is>
      </c>
    </row>
    <row r="13">
      <c r="B13" s="11" t="inlineStr">
        <is>
          <t>1. Ingredientes da receita</t>
        </is>
      </c>
      <c r="H13" s="9" t="inlineStr">
        <is>
          <t>5. Revise a ficha sempre que um insumo mudar de preço.</t>
        </is>
      </c>
    </row>
    <row r="14" ht="30" customHeight="1">
      <c r="B14" s="12" t="inlineStr">
        <is>
          <t>Ingrediente</t>
        </is>
      </c>
      <c r="C14" s="12" t="inlineStr">
        <is>
          <t>Quantidade</t>
        </is>
      </c>
      <c r="D14" s="12" t="inlineStr">
        <is>
          <t>Unidade</t>
        </is>
      </c>
      <c r="E14" s="12" t="inlineStr">
        <is>
          <t>Preço por unidade</t>
        </is>
      </c>
      <c r="F14" s="12" t="inlineStr">
        <is>
          <t>Custo na receita</t>
        </is>
      </c>
    </row>
    <row r="15">
      <c r="B15" s="4" t="inlineStr">
        <is>
          <t>Farinha de trigo</t>
        </is>
      </c>
      <c r="C15" s="13" t="n">
        <v>10</v>
      </c>
      <c r="D15" s="14" t="inlineStr">
        <is>
          <t>kg</t>
        </is>
      </c>
      <c r="E15" s="15" t="n">
        <v>5.5</v>
      </c>
      <c r="F15" s="16">
        <f>IF(OR(C15="",E15=""),0,C15*E15)</f>
        <v/>
      </c>
    </row>
    <row r="16">
      <c r="B16" s="4" t="inlineStr">
        <is>
          <t>Água</t>
        </is>
      </c>
      <c r="C16" s="13" t="n">
        <v>6</v>
      </c>
      <c r="D16" s="14" t="inlineStr">
        <is>
          <t>kg</t>
        </is>
      </c>
      <c r="E16" s="15" t="n">
        <v>0</v>
      </c>
      <c r="F16" s="16">
        <f>IF(OR(C16="",E16=""),0,C16*E16)</f>
        <v/>
      </c>
      <c r="H16" s="17" t="inlineStr">
        <is>
          <t>Cansou de atualizar preço à mão?</t>
        </is>
      </c>
    </row>
    <row r="17" ht="54" customHeight="1">
      <c r="B17" s="4" t="inlineStr">
        <is>
          <t>Fermento biológico fresco</t>
        </is>
      </c>
      <c r="C17" s="13" t="n">
        <v>0.3</v>
      </c>
      <c r="D17" s="14" t="inlineStr">
        <is>
          <t>kg</t>
        </is>
      </c>
      <c r="E17" s="15" t="n">
        <v>30</v>
      </c>
      <c r="F17" s="16">
        <f>IF(OR(C17="",E17=""),0,C17*E17)</f>
        <v/>
      </c>
      <c r="H17" s="9" t="inlineStr">
        <is>
          <t>No sistema ProSystem, a entrada da nota fiscal pelo XML atualiza o custo dos insumos e a formação de preço acompanha.</t>
        </is>
      </c>
    </row>
    <row r="18">
      <c r="B18" s="4" t="inlineStr">
        <is>
          <t>Sal</t>
        </is>
      </c>
      <c r="C18" s="13" t="n">
        <v>0.2</v>
      </c>
      <c r="D18" s="14" t="inlineStr">
        <is>
          <t>kg</t>
        </is>
      </c>
      <c r="E18" s="15" t="n">
        <v>3</v>
      </c>
      <c r="F18" s="16">
        <f>IF(OR(C18="",E18=""),0,C18*E18)</f>
        <v/>
      </c>
    </row>
    <row r="19">
      <c r="B19" s="4" t="inlineStr">
        <is>
          <t>Açúcar</t>
        </is>
      </c>
      <c r="C19" s="13" t="n">
        <v>0.1</v>
      </c>
      <c r="D19" s="14" t="inlineStr">
        <is>
          <t>kg</t>
        </is>
      </c>
      <c r="E19" s="15" t="n">
        <v>5</v>
      </c>
      <c r="F19" s="16">
        <f>IF(OR(C19="",E19=""),0,C19*E19)</f>
        <v/>
      </c>
      <c r="H19" s="18" t="inlineStr">
        <is>
          <t>Fale com um especialista: (27) 99752-1370</t>
        </is>
      </c>
    </row>
    <row r="20">
      <c r="B20" s="4" t="inlineStr">
        <is>
          <t>Melhorador</t>
        </is>
      </c>
      <c r="C20" s="13" t="n">
        <v>0.1</v>
      </c>
      <c r="D20" s="14" t="inlineStr">
        <is>
          <t>kg</t>
        </is>
      </c>
      <c r="E20" s="15" t="n">
        <v>60</v>
      </c>
      <c r="F20" s="16">
        <f>IF(OR(C20="",E20=""),0,C20*E20)</f>
        <v/>
      </c>
      <c r="H20" s="19" t="inlineStr">
        <is>
          <t>prosystemnet.com/blog</t>
        </is>
      </c>
    </row>
    <row r="21">
      <c r="B21" s="4" t="n"/>
      <c r="C21" s="13" t="n"/>
      <c r="D21" s="14" t="n"/>
      <c r="E21" s="15" t="n"/>
      <c r="F21" s="16">
        <f>IF(OR(C21="",E21=""),0,C21*E21)</f>
        <v/>
      </c>
    </row>
    <row r="22">
      <c r="B22" s="4" t="n"/>
      <c r="C22" s="13" t="n"/>
      <c r="D22" s="14" t="n"/>
      <c r="E22" s="15" t="n"/>
      <c r="F22" s="16">
        <f>IF(OR(C22="",E22=""),0,C22*E22)</f>
        <v/>
      </c>
    </row>
    <row r="23">
      <c r="B23" s="4" t="n"/>
      <c r="C23" s="13" t="n"/>
      <c r="D23" s="14" t="n"/>
      <c r="E23" s="15" t="n"/>
      <c r="F23" s="16">
        <f>IF(OR(C23="",E23=""),0,C23*E23)</f>
        <v/>
      </c>
    </row>
    <row r="24">
      <c r="B24" s="4" t="n"/>
      <c r="C24" s="13" t="n"/>
      <c r="D24" s="14" t="n"/>
      <c r="E24" s="15" t="n"/>
      <c r="F24" s="16">
        <f>IF(OR(C24="",E24=""),0,C24*E24)</f>
        <v/>
      </c>
    </row>
    <row r="25">
      <c r="B25" s="4" t="n"/>
      <c r="C25" s="13" t="n"/>
      <c r="D25" s="14" t="n"/>
      <c r="E25" s="15" t="n"/>
      <c r="F25" s="16">
        <f>IF(OR(C25="",E25=""),0,C25*E25)</f>
        <v/>
      </c>
    </row>
    <row r="26">
      <c r="B26" s="4" t="n"/>
      <c r="C26" s="13" t="n"/>
      <c r="D26" s="14" t="n"/>
      <c r="E26" s="15" t="n"/>
      <c r="F26" s="16">
        <f>IF(OR(C26="",E26=""),0,C26*E26)</f>
        <v/>
      </c>
    </row>
    <row r="27">
      <c r="B27" s="4" t="n"/>
      <c r="C27" s="13" t="n"/>
      <c r="D27" s="14" t="n"/>
      <c r="E27" s="15" t="n"/>
      <c r="F27" s="16">
        <f>IF(OR(C27="",E27=""),0,C27*E27)</f>
        <v/>
      </c>
    </row>
    <row r="28">
      <c r="B28" s="4" t="n"/>
      <c r="C28" s="13" t="n"/>
      <c r="D28" s="14" t="n"/>
      <c r="E28" s="15" t="n"/>
      <c r="F28" s="16">
        <f>IF(OR(C28="",E28=""),0,C28*E28)</f>
        <v/>
      </c>
    </row>
    <row r="29">
      <c r="B29" s="20" t="inlineStr">
        <is>
          <t>Custo total dos ingredientes</t>
        </is>
      </c>
      <c r="C29" s="21">
        <f>SUMIF(D15:D28,"kg",C15:C28)+SUMIF(D15:D28,"L",C15:C28)</f>
        <v/>
      </c>
      <c r="D29" s="22" t="inlineStr">
        <is>
          <t>kg de massa</t>
        </is>
      </c>
      <c r="E29" s="23" t="inlineStr"/>
      <c r="F29" s="24">
        <f>SUM(F15:F28)</f>
        <v/>
      </c>
    </row>
    <row r="31">
      <c r="B31" s="11" t="inlineStr">
        <is>
          <t>2. Rendimento da fornada</t>
        </is>
      </c>
    </row>
    <row r="32">
      <c r="B32" s="25" t="inlineStr">
        <is>
          <t>Peso da peça crua (g)</t>
        </is>
      </c>
      <c r="C32" s="26" t="n">
        <v>60</v>
      </c>
    </row>
    <row r="33">
      <c r="B33" s="25" t="inlineStr">
        <is>
          <t>Rendimento previsto (unidades)</t>
        </is>
      </c>
      <c r="C33" s="27">
        <f>IF(C32&gt;0,INT(C29*1000/C32),0)</f>
        <v/>
      </c>
    </row>
    <row r="34">
      <c r="B34" s="25" t="inlineStr">
        <is>
          <t>Rendimento real da última fornada (unidades)</t>
        </is>
      </c>
      <c r="C34" s="26" t="n">
        <v>262</v>
      </c>
    </row>
    <row r="35">
      <c r="B35" s="25" t="inlineStr">
        <is>
          <t>Diferença entre real e previsto</t>
        </is>
      </c>
      <c r="C35" s="28">
        <f>IF(AND(C33&gt;0,C34&gt;0),(C34-C33)/C33,0)</f>
        <v/>
      </c>
    </row>
    <row r="37">
      <c r="B37" s="11" t="inlineStr">
        <is>
          <t>3. Custo por unidade</t>
        </is>
      </c>
    </row>
    <row r="38">
      <c r="B38" s="25" t="inlineStr">
        <is>
          <t>Ingredientes por unidade</t>
        </is>
      </c>
      <c r="C38" s="24">
        <f>IF(IF(C34&gt;0,C34,C33)&gt;0,F29/IF(C34&gt;0,C34,C33),0)</f>
        <v/>
      </c>
    </row>
    <row r="39">
      <c r="B39" s="25" t="inlineStr">
        <is>
          <t>Embalagem por unidade (R$)</t>
        </is>
      </c>
      <c r="C39" s="15" t="n">
        <v>0</v>
      </c>
    </row>
    <row r="40">
      <c r="B40" s="25" t="inlineStr">
        <is>
          <t>Energia, gás e outros custos (% sobre ingredientes)</t>
        </is>
      </c>
      <c r="C40" s="29" t="n">
        <v>0.25</v>
      </c>
    </row>
    <row r="41">
      <c r="B41" s="25" t="inlineStr">
        <is>
          <t>Mão de obra da fornada (R$)</t>
        </is>
      </c>
      <c r="C41" s="15" t="n">
        <v>45</v>
      </c>
    </row>
    <row r="42">
      <c r="B42" s="20" t="inlineStr">
        <is>
          <t>Custo total por unidade</t>
        </is>
      </c>
      <c r="C42" s="24">
        <f>C38+C39+C38*C40+IF(IF(C34&gt;0,C34,C33)&gt;0,C41/IF(C34&gt;0,C34,C33),0)</f>
        <v/>
      </c>
    </row>
    <row r="44">
      <c r="B44" s="11" t="inlineStr">
        <is>
          <t>4. Preço de venda</t>
        </is>
      </c>
    </row>
    <row r="45">
      <c r="B45" s="25" t="inlineStr">
        <is>
          <t>Impostos sobre a venda (% do preço)</t>
        </is>
      </c>
      <c r="C45" s="29" t="n">
        <v>0.06</v>
      </c>
    </row>
    <row r="46">
      <c r="B46" s="25" t="inlineStr">
        <is>
          <t>Margem desejada (% do preço)</t>
        </is>
      </c>
      <c r="C46" s="29" t="n">
        <v>0.35</v>
      </c>
    </row>
    <row r="47">
      <c r="B47" s="20" t="inlineStr">
        <is>
          <t>Preço sugerido por unidade</t>
        </is>
      </c>
      <c r="C47" s="24">
        <f>IF((1-C45-C46)&gt;0,C42/(1-C45-C46),0)</f>
        <v/>
      </c>
    </row>
    <row r="48">
      <c r="B48" s="25" t="inlineStr">
        <is>
          <t>Preço que você pratica hoje (opcional)</t>
        </is>
      </c>
      <c r="C48" s="15" t="n">
        <v>0.8</v>
      </c>
    </row>
    <row r="49">
      <c r="B49" s="20" t="inlineStr">
        <is>
          <t>Margem real com o preço de hoje</t>
        </is>
      </c>
      <c r="C49" s="28">
        <f>IF(C48&gt;0,(C48*(1-C45)-C42)/C48,0)</f>
        <v/>
      </c>
    </row>
    <row r="51">
      <c r="B51" s="30" t="inlineStr">
        <is>
          <t>Valores ilustrativos para mostrar o cálculo. Use os números da sua padaria na aba "Minha ficha".</t>
        </is>
      </c>
    </row>
  </sheetData>
  <mergeCells count="3">
    <mergeCell ref="C8:F8"/>
    <mergeCell ref="C9:F9"/>
    <mergeCell ref="C10:F10"/>
  </mergeCells>
  <dataValidations count="1">
    <dataValidation sqref="D15 D16 D17 D18 D19 D20 D21 D22 D23 D24 D25 D26 D27 D28" showDropDown="0" showInputMessage="0" showErrorMessage="0" allowBlank="1" type="list">
      <formula1>"kg,L,un"</formula1>
    </dataValidation>
  </dataValidations>
  <hyperlinks>
    <hyperlink xmlns:r="http://schemas.openxmlformats.org/officeDocument/2006/relationships" ref="H19" r:id="rId1"/>
    <hyperlink xmlns:r="http://schemas.openxmlformats.org/officeDocument/2006/relationships" ref="H20" r:id="rId2"/>
  </hyperlinks>
  <pageMargins left="0.75" right="0.75" top="1" bottom="1" header="0.5" footer="0.5"/>
  <pageSetup orientation="portrait" fitToWidth="1"/>
  <drawing xmlns:r="http://schemas.openxmlformats.org/officeDocument/2006/relationships" r:id="rId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ProSystem Sistemas</dc:creator>
  <dc:title xmlns:dc="http://purl.org/dc/elements/1.1/">Ficha técnica de produção para padaria</dc:title>
  <dcterms:created xmlns:dcterms="http://purl.org/dc/terms/" xmlns:xsi="http://www.w3.org/2001/XMLSchema-instance" xsi:type="dcterms:W3CDTF">2026-10-07T13:47:59Z</dcterms:created>
  <dcterms:modified xmlns:dcterms="http://purl.org/dc/terms/" xmlns:xsi="http://www.w3.org/2001/XMLSchema-instance" xsi:type="dcterms:W3CDTF">2026-10-07T13:47:59Z</dcterms:modified>
</cp:coreProperties>
</file>